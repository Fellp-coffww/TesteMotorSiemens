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grupotse-my.sharepoint.com/personal/fellipe_magalhaes_tsea_com_br/Documents/"/>
    </mc:Choice>
  </mc:AlternateContent>
  <xr:revisionPtr revIDLastSave="0" documentId="8_{68A60703-2B8F-45A0-984E-753D691FDE8F}" xr6:coauthVersionLast="47" xr6:coauthVersionMax="47" xr10:uidLastSave="{00000000-0000-0000-0000-000000000000}"/>
  <bookViews>
    <workbookView xWindow="-108" yWindow="-108" windowWidth="23256" windowHeight="12456" xr2:uid="{92709541-026E-4026-AF93-8A13AD5DDB14}"/>
  </bookViews>
  <sheets>
    <sheet name="Planilha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7" i="1" l="1"/>
  <c r="B29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FellipeMagalhaes</author>
  </authors>
  <commentList>
    <comment ref="H5" authorId="0" shapeId="0" xr:uid="{B0A3A584-7F14-4DFD-8FA2-A888B954A34C}">
      <text>
        <r>
          <rPr>
            <b/>
            <sz val="9"/>
            <color indexed="81"/>
            <rFont val="Segoe UI"/>
            <family val="2"/>
          </rPr>
          <t>FellipeMagalhaes:</t>
        </r>
        <r>
          <rPr>
            <sz val="9"/>
            <color indexed="81"/>
            <rFont val="Segoe UI"/>
            <family val="2"/>
          </rPr>
          <t xml:space="preserve">
Coloque o nome do dispositivo entre aspas duplas!
</t>
        </r>
      </text>
    </comment>
  </commentList>
</comments>
</file>

<file path=xl/sharedStrings.xml><?xml version="1.0" encoding="utf-8"?>
<sst xmlns="http://schemas.openxmlformats.org/spreadsheetml/2006/main" count="330" uniqueCount="88">
  <si>
    <t>Nome Disp:</t>
  </si>
  <si>
    <t>Atributo</t>
  </si>
  <si>
    <t>Visivel:</t>
  </si>
  <si>
    <t>CopyPaste para testes - MOTORES</t>
  </si>
  <si>
    <t>Copiar-Colar</t>
  </si>
  <si>
    <t>ACmd_Liga</t>
  </si>
  <si>
    <t>ACmd_LigaDireto</t>
  </si>
  <si>
    <t>ACmd_LigaReverso</t>
  </si>
  <si>
    <t>ACmd_DesligaCsc</t>
  </si>
  <si>
    <t>ACmd_Bloqueia</t>
  </si>
  <si>
    <t>MCmd_LigaDireto</t>
  </si>
  <si>
    <t>MCmd_DesligaDireto</t>
  </si>
  <si>
    <t>MCmd_LigaReverso</t>
  </si>
  <si>
    <t>MCmd_DesligaReverso</t>
  </si>
  <si>
    <t>MCmd_Liga</t>
  </si>
  <si>
    <t>MCmd_Desliga</t>
  </si>
  <si>
    <t>MCmd_ResetAlarme</t>
  </si>
  <si>
    <t>MCmd_HabOperacional</t>
  </si>
  <si>
    <t>Bloqueado</t>
  </si>
  <si>
    <t>ModoTeste</t>
  </si>
  <si>
    <t>Manual</t>
  </si>
  <si>
    <t>Alarme</t>
  </si>
  <si>
    <t>SaidaReverso</t>
  </si>
  <si>
    <t>Saida</t>
  </si>
  <si>
    <t>SaidaDireto</t>
  </si>
  <si>
    <t>Reversivel</t>
  </si>
  <si>
    <t>Remoto</t>
  </si>
  <si>
    <t>Sentido</t>
  </si>
  <si>
    <t>FBDireto</t>
  </si>
  <si>
    <t>FBReverso</t>
  </si>
  <si>
    <t>FBBLoqueado</t>
  </si>
  <si>
    <t>FB</t>
  </si>
  <si>
    <t>Termico</t>
  </si>
  <si>
    <t>Lockout</t>
  </si>
  <si>
    <t>Permissao</t>
  </si>
  <si>
    <t>Falha</t>
  </si>
  <si>
    <t>Partindo</t>
  </si>
  <si>
    <t>Parando</t>
  </si>
  <si>
    <t>InterlocksOK</t>
  </si>
  <si>
    <t>PermissivosOK</t>
  </si>
  <si>
    <t>DesalocMe</t>
  </si>
  <si>
    <t>FBLigado</t>
  </si>
  <si>
    <t>Contaminador</t>
  </si>
  <si>
    <t>Manutencao</t>
  </si>
  <si>
    <t>ByPassActive</t>
  </si>
  <si>
    <t>BloqCarga</t>
  </si>
  <si>
    <t>BloqSensorMov</t>
  </si>
  <si>
    <t>BloqMaxPartidas</t>
  </si>
  <si>
    <t>ParadaControlada</t>
  </si>
  <si>
    <t>ParadaImediata</t>
  </si>
  <si>
    <t>STS1</t>
  </si>
  <si>
    <t>Estado</t>
  </si>
  <si>
    <t>Idx</t>
  </si>
  <si>
    <t>TipoPartida</t>
  </si>
  <si>
    <t>FreqEscrita</t>
  </si>
  <si>
    <t>FreqLida</t>
  </si>
  <si>
    <t>AlarmeTipo</t>
  </si>
  <si>
    <t>CorrenteLida</t>
  </si>
  <si>
    <t>CorrenteNorminal</t>
  </si>
  <si>
    <t>RPM_Minimo</t>
  </si>
  <si>
    <t>RPM_Maximo</t>
  </si>
  <si>
    <t>RPM</t>
  </si>
  <si>
    <t>SaidaResetFalha</t>
  </si>
  <si>
    <t>LigaDireto</t>
  </si>
  <si>
    <t>LigaReverso</t>
  </si>
  <si>
    <t>Liga</t>
  </si>
  <si>
    <t>Pronto</t>
  </si>
  <si>
    <t>Prontorev</t>
  </si>
  <si>
    <t>Simula</t>
  </si>
  <si>
    <t>ProntoDir</t>
  </si>
  <si>
    <t>CascLigada</t>
  </si>
  <si>
    <t>CascDesligada</t>
  </si>
  <si>
    <t>Tempo_Esvaziamento</t>
  </si>
  <si>
    <t>Tempo_CascLigada</t>
  </si>
  <si>
    <t>Tempo_CascDesligada</t>
  </si>
  <si>
    <t>Tempo_FalhaAcionamento</t>
  </si>
  <si>
    <t>Tempo_Teste</t>
  </si>
  <si>
    <t>Aux</t>
  </si>
  <si>
    <t>ONS</t>
  </si>
  <si>
    <t>CorrenteCapMin</t>
  </si>
  <si>
    <t>CorrenteCapMax</t>
  </si>
  <si>
    <t>CorrenteCapCarga</t>
  </si>
  <si>
    <t>CargaAlarme</t>
  </si>
  <si>
    <t>CargaFalha</t>
  </si>
  <si>
    <t>TempMax</t>
  </si>
  <si>
    <t>x</t>
  </si>
  <si>
    <t>"EL-302"</t>
  </si>
  <si>
    <t>ioSimula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</si>
</sst>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1" xfId="0" applyBorder="1"/>
    <xf numFmtId="0" fontId="0" fillId="3" borderId="1" xfId="0" applyFill="1" applyBorder="1"/>
    <xf numFmtId="0" fontId="0" fillId="3" borderId="1" xfId="0" applyFill="1" applyBorder="1" applyAlignment="1"/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12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502920</xdr:colOff>
      <xdr:row>6</xdr:row>
      <xdr:rowOff>167640</xdr:rowOff>
    </xdr:from>
    <xdr:to>
      <xdr:col>13</xdr:col>
      <xdr:colOff>327660</xdr:colOff>
      <xdr:row>9</xdr:row>
      <xdr:rowOff>144780</xdr:rowOff>
    </xdr:to>
    <xdr:sp macro="[0]!CopiarColarteste" textlink="">
      <xdr:nvSpPr>
        <xdr:cNvPr id="2" name="Retângulo 1">
          <a:extLst>
            <a:ext uri="{FF2B5EF4-FFF2-40B4-BE49-F238E27FC236}">
              <a16:creationId xmlns:a16="http://schemas.microsoft.com/office/drawing/2014/main" id="{92B31392-5F38-E4CA-2DEF-2B21933DFD07}"/>
            </a:ext>
          </a:extLst>
        </xdr:cNvPr>
        <xdr:cNvSpPr/>
      </xdr:nvSpPr>
      <xdr:spPr>
        <a:xfrm>
          <a:off x="9639300" y="1379220"/>
          <a:ext cx="1653540" cy="525780"/>
        </a:xfrm>
        <a:prstGeom prst="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>
              <a:latin typeface="Arial" panose="020B0604020202020204" pitchFamily="34" charset="0"/>
              <a:cs typeface="Arial" panose="020B0604020202020204" pitchFamily="34" charset="0"/>
            </a:rPr>
            <a:t>Copiar</a:t>
          </a:r>
          <a:r>
            <a:rPr lang="pt-BR" sz="1400" baseline="0">
              <a:latin typeface="Arial" panose="020B0604020202020204" pitchFamily="34" charset="0"/>
              <a:cs typeface="Arial" panose="020B0604020202020204" pitchFamily="34" charset="0"/>
            </a:rPr>
            <a:t> dados</a:t>
          </a:r>
          <a:endParaRPr lang="pt-BR" sz="1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1642B-583D-4A3D-837C-07B40A03ECD6}">
  <sheetPr codeName="Planilha1">
    <tabColor rgb="FF7030A0"/>
  </sheetPr>
  <dimension ref="B1:J87"/>
  <sheetViews>
    <sheetView tabSelected="1" workbookViewId="0">
      <selection activeCell="B7" sqref="B7:F87"/>
    </sheetView>
  </sheetViews>
  <sheetFormatPr defaultRowHeight="14.4" x14ac:dyDescent="0.3"/>
  <cols>
    <col min="1" max="2" width="8.88671875" customWidth="1"/>
    <col min="6" max="6" width="51.6640625" customWidth="1"/>
    <col min="7" max="7" width="10.44140625" bestFit="1" customWidth="1"/>
  </cols>
  <sheetData>
    <row r="1" spans="2:10" ht="14.4" customHeight="1" x14ac:dyDescent="0.3"/>
    <row r="2" spans="2:10" ht="14.4" customHeight="1" x14ac:dyDescent="0.3">
      <c r="B2" s="4" t="s">
        <v>3</v>
      </c>
      <c r="C2" s="5"/>
      <c r="D2" s="5"/>
      <c r="E2" s="5"/>
      <c r="F2" s="5"/>
      <c r="G2" s="5"/>
      <c r="H2" s="5"/>
      <c r="I2" s="5"/>
      <c r="J2" s="6"/>
    </row>
    <row r="3" spans="2:10" ht="14.4" customHeight="1" x14ac:dyDescent="0.3">
      <c r="B3" s="7"/>
      <c r="C3" s="8"/>
      <c r="D3" s="8"/>
      <c r="E3" s="8"/>
      <c r="F3" s="8"/>
      <c r="G3" s="8"/>
      <c r="H3" s="8"/>
      <c r="I3" s="8"/>
      <c r="J3" s="9"/>
    </row>
    <row r="4" spans="2:10" ht="23.4" customHeight="1" x14ac:dyDescent="0.3">
      <c r="B4" s="10"/>
      <c r="C4" s="11"/>
      <c r="D4" s="11"/>
      <c r="E4" s="11"/>
      <c r="F4" s="11"/>
      <c r="G4" s="11"/>
      <c r="H4" s="11"/>
      <c r="I4" s="11"/>
      <c r="J4" s="12"/>
    </row>
    <row r="5" spans="2:10" x14ac:dyDescent="0.3">
      <c r="B5" s="13" t="s">
        <v>4</v>
      </c>
      <c r="C5" s="14"/>
      <c r="D5" s="14"/>
      <c r="E5" s="14"/>
      <c r="F5" s="15"/>
      <c r="G5" s="2" t="s">
        <v>0</v>
      </c>
      <c r="H5" s="16" t="s">
        <v>86</v>
      </c>
      <c r="I5" s="17"/>
      <c r="J5" s="18"/>
    </row>
    <row r="6" spans="2:10" x14ac:dyDescent="0.3">
      <c r="B6" s="16"/>
      <c r="C6" s="17"/>
      <c r="D6" s="17"/>
      <c r="E6" s="17"/>
      <c r="F6" s="18"/>
      <c r="G6" s="13" t="s">
        <v>1</v>
      </c>
      <c r="H6" s="14"/>
      <c r="I6" s="15"/>
      <c r="J6" s="3" t="s">
        <v>2</v>
      </c>
    </row>
    <row r="7" spans="2:10" x14ac:dyDescent="0.3">
      <c r="B7" s="19" t="str">
        <f>IF(J7="X","MotorTeste_"&amp;G7&amp;" : "&amp;H5&amp;"."&amp;"InterfacePLC."&amp;G7&amp;";","")</f>
        <v>MotorTeste_ACmd_Liga : "EL-302".InterfacePLC.ACmd_Liga;</v>
      </c>
      <c r="C7" s="20"/>
      <c r="D7" s="20"/>
      <c r="E7" s="20"/>
      <c r="F7" s="21"/>
      <c r="G7" s="16" t="s">
        <v>5</v>
      </c>
      <c r="H7" s="17" t="s">
        <v>5</v>
      </c>
      <c r="I7" s="18" t="s">
        <v>5</v>
      </c>
      <c r="J7" s="1" t="s">
        <v>85</v>
      </c>
    </row>
    <row r="8" spans="2:10" x14ac:dyDescent="0.3">
      <c r="B8" s="19" t="str">
        <f>IF(J8="X","MotorTeste_"&amp;G8&amp;" : "&amp;H5&amp;"."&amp;"InterfacePLC."&amp;G8&amp;";","")</f>
        <v>MotorTeste_ACmd_LigaDireto : "EL-302".InterfacePLC.ACmd_LigaDireto;</v>
      </c>
      <c r="C8" s="20"/>
      <c r="D8" s="20"/>
      <c r="E8" s="20"/>
      <c r="F8" s="21"/>
      <c r="G8" s="16" t="s">
        <v>6</v>
      </c>
      <c r="H8" s="17" t="s">
        <v>6</v>
      </c>
      <c r="I8" s="18" t="s">
        <v>6</v>
      </c>
      <c r="J8" s="1" t="s">
        <v>85</v>
      </c>
    </row>
    <row r="9" spans="2:10" x14ac:dyDescent="0.3">
      <c r="B9" s="19" t="str">
        <f>IF(J9="X","MotorTeste_"&amp;G9&amp;" : "&amp;H5&amp;"."&amp;"InterfacePLC."&amp;G9&amp;";","")</f>
        <v>MotorTeste_ACmd_LigaReverso : "EL-302".InterfacePLC.ACmd_LigaReverso;</v>
      </c>
      <c r="C9" s="20"/>
      <c r="D9" s="20"/>
      <c r="E9" s="20"/>
      <c r="F9" s="21"/>
      <c r="G9" s="16" t="s">
        <v>7</v>
      </c>
      <c r="H9" s="17" t="s">
        <v>7</v>
      </c>
      <c r="I9" s="18" t="s">
        <v>7</v>
      </c>
      <c r="J9" s="1" t="s">
        <v>85</v>
      </c>
    </row>
    <row r="10" spans="2:10" x14ac:dyDescent="0.3">
      <c r="B10" s="19" t="str">
        <f>IF(J10="X","MotorTeste_"&amp;G10&amp;" : "&amp;H5&amp;"."&amp;"InterfacePLC."&amp;G10&amp;";","")</f>
        <v>MotorTeste_ACmd_DesligaCsc : "EL-302".InterfacePLC.ACmd_DesligaCsc;</v>
      </c>
      <c r="C10" s="20"/>
      <c r="D10" s="20"/>
      <c r="E10" s="20"/>
      <c r="F10" s="21"/>
      <c r="G10" s="16" t="s">
        <v>8</v>
      </c>
      <c r="H10" s="17" t="s">
        <v>8</v>
      </c>
      <c r="I10" s="18" t="s">
        <v>8</v>
      </c>
      <c r="J10" s="1" t="s">
        <v>85</v>
      </c>
    </row>
    <row r="11" spans="2:10" x14ac:dyDescent="0.3">
      <c r="B11" s="19" t="str">
        <f>IF(J11="X","MotorTeste_"&amp;G11&amp;" : "&amp;H5&amp;"."&amp;"InterfacePLC."&amp;G11&amp;";","")</f>
        <v>MotorTeste_ACmd_Bloqueia : "EL-302".InterfacePLC.ACmd_Bloqueia;</v>
      </c>
      <c r="C11" s="20"/>
      <c r="D11" s="20"/>
      <c r="E11" s="20"/>
      <c r="F11" s="21"/>
      <c r="G11" s="16" t="s">
        <v>9</v>
      </c>
      <c r="H11" s="17" t="s">
        <v>9</v>
      </c>
      <c r="I11" s="18" t="s">
        <v>9</v>
      </c>
      <c r="J11" s="1" t="s">
        <v>85</v>
      </c>
    </row>
    <row r="12" spans="2:10" x14ac:dyDescent="0.3">
      <c r="B12" s="19" t="str">
        <f>IF(J12="X","MotorTeste_"&amp;G12&amp;" : "&amp;H5&amp;"."&amp;"InterfacePLC."&amp;G12&amp;";","")</f>
        <v>MotorTeste_MCmd_LigaDireto : "EL-302".InterfacePLC.MCmd_LigaDireto;</v>
      </c>
      <c r="C12" s="20"/>
      <c r="D12" s="20"/>
      <c r="E12" s="20"/>
      <c r="F12" s="21"/>
      <c r="G12" s="16" t="s">
        <v>10</v>
      </c>
      <c r="H12" s="17" t="s">
        <v>10</v>
      </c>
      <c r="I12" s="18" t="s">
        <v>10</v>
      </c>
      <c r="J12" s="1" t="s">
        <v>85</v>
      </c>
    </row>
    <row r="13" spans="2:10" x14ac:dyDescent="0.3">
      <c r="B13" s="19" t="str">
        <f>IF(J13="X","MotorTeste_"&amp;G13&amp;" : "&amp;H5&amp;"."&amp;"InterfacePLC."&amp;G13&amp;";","")</f>
        <v>MotorTeste_MCmd_DesligaDireto : "EL-302".InterfacePLC.MCmd_DesligaDireto;</v>
      </c>
      <c r="C13" s="20"/>
      <c r="D13" s="20"/>
      <c r="E13" s="20"/>
      <c r="F13" s="21"/>
      <c r="G13" s="16" t="s">
        <v>11</v>
      </c>
      <c r="H13" s="17" t="s">
        <v>11</v>
      </c>
      <c r="I13" s="18" t="s">
        <v>11</v>
      </c>
      <c r="J13" s="1" t="s">
        <v>85</v>
      </c>
    </row>
    <row r="14" spans="2:10" x14ac:dyDescent="0.3">
      <c r="B14" s="19" t="str">
        <f>IF(J14="X","MotorTeste_"&amp;G14&amp;" : "&amp;H5&amp;"."&amp;"InterfacePLC."&amp;G14&amp;";","")</f>
        <v>MotorTeste_MCmd_LigaReverso : "EL-302".InterfacePLC.MCmd_LigaReverso;</v>
      </c>
      <c r="C14" s="20"/>
      <c r="D14" s="20"/>
      <c r="E14" s="20"/>
      <c r="F14" s="21"/>
      <c r="G14" s="16" t="s">
        <v>12</v>
      </c>
      <c r="H14" s="17" t="s">
        <v>12</v>
      </c>
      <c r="I14" s="18" t="s">
        <v>12</v>
      </c>
      <c r="J14" s="1" t="s">
        <v>85</v>
      </c>
    </row>
    <row r="15" spans="2:10" x14ac:dyDescent="0.3">
      <c r="B15" s="19" t="str">
        <f>IF(J15="X","MotorTeste_"&amp;G15&amp;" : "&amp;H5&amp;"."&amp;"InterfacePLC."&amp;G15&amp;";","")</f>
        <v>MotorTeste_MCmd_DesligaReverso : "EL-302".InterfacePLC.MCmd_DesligaReverso;</v>
      </c>
      <c r="C15" s="20"/>
      <c r="D15" s="20"/>
      <c r="E15" s="20"/>
      <c r="F15" s="21"/>
      <c r="G15" s="16" t="s">
        <v>13</v>
      </c>
      <c r="H15" s="17" t="s">
        <v>13</v>
      </c>
      <c r="I15" s="18" t="s">
        <v>13</v>
      </c>
      <c r="J15" s="1" t="s">
        <v>85</v>
      </c>
    </row>
    <row r="16" spans="2:10" x14ac:dyDescent="0.3">
      <c r="B16" s="19" t="str">
        <f>IF(J16="X","MotorTeste_"&amp;G16&amp;" : "&amp;H5&amp;"."&amp;"InterfacePLC."&amp;G16&amp;";","")</f>
        <v>MotorTeste_MCmd_Liga : "EL-302".InterfacePLC.MCmd_Liga;</v>
      </c>
      <c r="C16" s="20"/>
      <c r="D16" s="20"/>
      <c r="E16" s="20"/>
      <c r="F16" s="21"/>
      <c r="G16" s="16" t="s">
        <v>14</v>
      </c>
      <c r="H16" s="17" t="s">
        <v>14</v>
      </c>
      <c r="I16" s="18" t="s">
        <v>14</v>
      </c>
      <c r="J16" s="1" t="s">
        <v>85</v>
      </c>
    </row>
    <row r="17" spans="2:10" x14ac:dyDescent="0.3">
      <c r="B17" s="19" t="str">
        <f>IF(J17="X","MotorTeste_"&amp;G17&amp;" : "&amp;H5&amp;"."&amp;"InterfacePLC."&amp;G17&amp;";","")</f>
        <v>MotorTeste_MCmd_Desliga : "EL-302".InterfacePLC.MCmd_Desliga;</v>
      </c>
      <c r="C17" s="20"/>
      <c r="D17" s="20"/>
      <c r="E17" s="20"/>
      <c r="F17" s="21"/>
      <c r="G17" s="16" t="s">
        <v>15</v>
      </c>
      <c r="H17" s="17" t="s">
        <v>15</v>
      </c>
      <c r="I17" s="18" t="s">
        <v>15</v>
      </c>
      <c r="J17" s="1" t="s">
        <v>85</v>
      </c>
    </row>
    <row r="18" spans="2:10" x14ac:dyDescent="0.3">
      <c r="B18" s="19" t="str">
        <f>IF(J18="X","MotorTeste_"&amp;G18&amp;" : "&amp;H5&amp;"."&amp;"InterfacePLC."&amp;G18&amp;";","")</f>
        <v>MotorTeste_MCmd_ResetAlarme : "EL-302".InterfacePLC.MCmd_ResetAlarme;</v>
      </c>
      <c r="C18" s="20"/>
      <c r="D18" s="20"/>
      <c r="E18" s="20"/>
      <c r="F18" s="21"/>
      <c r="G18" s="16" t="s">
        <v>16</v>
      </c>
      <c r="H18" s="17" t="s">
        <v>16</v>
      </c>
      <c r="I18" s="18" t="s">
        <v>16</v>
      </c>
      <c r="J18" s="1" t="s">
        <v>85</v>
      </c>
    </row>
    <row r="19" spans="2:10" x14ac:dyDescent="0.3">
      <c r="B19" s="19" t="str">
        <f>IF(J19="X","MotorTeste_"&amp;G19&amp;" : "&amp;H5&amp;"."&amp;"InterfacePLC."&amp;G19&amp;";","")</f>
        <v>MotorTeste_MCmd_HabOperacional : "EL-302".InterfacePLC.MCmd_HabOperacional;</v>
      </c>
      <c r="C19" s="20"/>
      <c r="D19" s="20"/>
      <c r="E19" s="20"/>
      <c r="F19" s="21"/>
      <c r="G19" s="16" t="s">
        <v>17</v>
      </c>
      <c r="H19" s="17" t="s">
        <v>17</v>
      </c>
      <c r="I19" s="18" t="s">
        <v>17</v>
      </c>
      <c r="J19" s="1" t="s">
        <v>85</v>
      </c>
    </row>
    <row r="20" spans="2:10" x14ac:dyDescent="0.3">
      <c r="B20" s="19" t="str">
        <f>IF(J20="X","MotorTeste_"&amp;G20&amp;" : "&amp;H5&amp;"."&amp;"InterfacePLC."&amp;G20&amp;";","")</f>
        <v>MotorTeste_Bloqueado : "EL-302".InterfacePLC.Bloqueado;</v>
      </c>
      <c r="C20" s="20"/>
      <c r="D20" s="20"/>
      <c r="E20" s="20"/>
      <c r="F20" s="21"/>
      <c r="G20" s="16" t="s">
        <v>18</v>
      </c>
      <c r="H20" s="17" t="s">
        <v>18</v>
      </c>
      <c r="I20" s="18" t="s">
        <v>18</v>
      </c>
      <c r="J20" s="1" t="s">
        <v>85</v>
      </c>
    </row>
    <row r="21" spans="2:10" x14ac:dyDescent="0.3">
      <c r="B21" s="19" t="str">
        <f>IF(J21="X","MotorTeste_"&amp;G21&amp;" : "&amp;H5&amp;"."&amp;"InterfacePLC."&amp;G21&amp;";","")</f>
        <v>MotorTeste_ModoTeste : "EL-302".InterfacePLC.ModoTeste;</v>
      </c>
      <c r="C21" s="20"/>
      <c r="D21" s="20"/>
      <c r="E21" s="20"/>
      <c r="F21" s="21"/>
      <c r="G21" s="16" t="s">
        <v>19</v>
      </c>
      <c r="H21" s="17" t="s">
        <v>19</v>
      </c>
      <c r="I21" s="18" t="s">
        <v>19</v>
      </c>
      <c r="J21" s="1" t="s">
        <v>85</v>
      </c>
    </row>
    <row r="22" spans="2:10" x14ac:dyDescent="0.3">
      <c r="B22" s="19" t="str">
        <f>IF(J22="X","MotorTeste_"&amp;G22&amp;" : "&amp;H5&amp;"."&amp;"InterfacePLC."&amp;G22&amp;";","")</f>
        <v>MotorTeste_Manual : "EL-302".InterfacePLC.Manual;</v>
      </c>
      <c r="C22" s="20"/>
      <c r="D22" s="20"/>
      <c r="E22" s="20"/>
      <c r="F22" s="21"/>
      <c r="G22" s="16" t="s">
        <v>20</v>
      </c>
      <c r="H22" s="17" t="s">
        <v>20</v>
      </c>
      <c r="I22" s="18" t="s">
        <v>20</v>
      </c>
      <c r="J22" s="1" t="s">
        <v>85</v>
      </c>
    </row>
    <row r="23" spans="2:10" x14ac:dyDescent="0.3">
      <c r="B23" s="19" t="str">
        <f>IF(J23="X","MotorTeste_"&amp;G23&amp;" : "&amp;H5&amp;"."&amp;"InterfacePLC."&amp;G23&amp;";","")</f>
        <v>MotorTeste_Alarme : "EL-302".InterfacePLC.Alarme;</v>
      </c>
      <c r="C23" s="20"/>
      <c r="D23" s="20"/>
      <c r="E23" s="20"/>
      <c r="F23" s="21"/>
      <c r="G23" s="16" t="s">
        <v>21</v>
      </c>
      <c r="H23" s="17" t="s">
        <v>21</v>
      </c>
      <c r="I23" s="18" t="s">
        <v>21</v>
      </c>
      <c r="J23" s="1" t="s">
        <v>85</v>
      </c>
    </row>
    <row r="24" spans="2:10" x14ac:dyDescent="0.3">
      <c r="B24" s="19" t="str">
        <f>IF(J24="X","MotorTeste_"&amp;G24&amp;" : "&amp;H5&amp;"."&amp;"InterfacePLC."&amp;G24&amp;";","")</f>
        <v>MotorTeste_SaidaReverso : "EL-302".InterfacePLC.SaidaReverso;</v>
      </c>
      <c r="C24" s="20"/>
      <c r="D24" s="20"/>
      <c r="E24" s="20"/>
      <c r="F24" s="21"/>
      <c r="G24" s="16" t="s">
        <v>22</v>
      </c>
      <c r="H24" s="17" t="s">
        <v>22</v>
      </c>
      <c r="I24" s="18" t="s">
        <v>22</v>
      </c>
      <c r="J24" s="1" t="s">
        <v>85</v>
      </c>
    </row>
    <row r="25" spans="2:10" x14ac:dyDescent="0.3">
      <c r="B25" s="19" t="str">
        <f>IF(J25="X","MotorTeste_"&amp;G25&amp;" : "&amp;H5&amp;"."&amp;"InterfacePLC."&amp;G25&amp;";","")</f>
        <v>MotorTeste_Saida : "EL-302".InterfacePLC.Saida;</v>
      </c>
      <c r="C25" s="20"/>
      <c r="D25" s="20"/>
      <c r="E25" s="20"/>
      <c r="F25" s="21"/>
      <c r="G25" s="16" t="s">
        <v>23</v>
      </c>
      <c r="H25" s="17" t="s">
        <v>23</v>
      </c>
      <c r="I25" s="18" t="s">
        <v>23</v>
      </c>
      <c r="J25" s="1" t="s">
        <v>85</v>
      </c>
    </row>
    <row r="26" spans="2:10" x14ac:dyDescent="0.3">
      <c r="B26" s="19" t="str">
        <f>IF(J26="X","MotorTeste_"&amp;G26&amp;" : "&amp;H5&amp;"."&amp;"InterfacePLC."&amp;G26&amp;";","")</f>
        <v>MotorTeste_SaidaDireto : "EL-302".InterfacePLC.SaidaDireto;</v>
      </c>
      <c r="C26" s="20"/>
      <c r="D26" s="20"/>
      <c r="E26" s="20"/>
      <c r="F26" s="21"/>
      <c r="G26" s="16" t="s">
        <v>24</v>
      </c>
      <c r="H26" s="17" t="s">
        <v>24</v>
      </c>
      <c r="I26" s="18" t="s">
        <v>24</v>
      </c>
      <c r="J26" s="1" t="s">
        <v>85</v>
      </c>
    </row>
    <row r="27" spans="2:10" x14ac:dyDescent="0.3">
      <c r="B27" s="19" t="str">
        <f>IF(J27="X","MotorTeste_"&amp;G27&amp;" : "&amp;H5&amp;"."&amp;"InterfacePLC."&amp;G27&amp;";","")</f>
        <v>MotorTeste_Reversivel : "EL-302".InterfacePLC.Reversivel;</v>
      </c>
      <c r="C27" s="20"/>
      <c r="D27" s="20"/>
      <c r="E27" s="20"/>
      <c r="F27" s="21"/>
      <c r="G27" s="16" t="s">
        <v>25</v>
      </c>
      <c r="H27" s="17" t="s">
        <v>25</v>
      </c>
      <c r="I27" s="18" t="s">
        <v>25</v>
      </c>
      <c r="J27" s="1" t="s">
        <v>85</v>
      </c>
    </row>
    <row r="28" spans="2:10" x14ac:dyDescent="0.3">
      <c r="B28" s="19" t="str">
        <f>IF(J28="X","MotorTeste_"&amp;G28&amp;" : "&amp;H5&amp;"."&amp;"InterfacePLC."&amp;G28&amp;";","")</f>
        <v>MotorTeste_Remoto : "EL-302".InterfacePLC.Remoto;</v>
      </c>
      <c r="C28" s="20"/>
      <c r="D28" s="20"/>
      <c r="E28" s="20"/>
      <c r="F28" s="21"/>
      <c r="G28" s="16" t="s">
        <v>26</v>
      </c>
      <c r="H28" s="17" t="s">
        <v>26</v>
      </c>
      <c r="I28" s="18" t="s">
        <v>26</v>
      </c>
      <c r="J28" s="1" t="s">
        <v>85</v>
      </c>
    </row>
    <row r="29" spans="2:10" x14ac:dyDescent="0.3">
      <c r="B29" s="19" t="str">
        <f>IF(J29="X","MotorTeste_"&amp;G29&amp;" : "&amp;H5&amp;"."&amp;"InterfacePLC."&amp;G29&amp;";","")</f>
        <v>MotorTeste_Sentido : "EL-302".InterfacePLC.Sentido;</v>
      </c>
      <c r="C29" s="20"/>
      <c r="D29" s="20"/>
      <c r="E29" s="20"/>
      <c r="F29" s="21"/>
      <c r="G29" s="16" t="s">
        <v>27</v>
      </c>
      <c r="H29" s="17" t="s">
        <v>27</v>
      </c>
      <c r="I29" s="18" t="s">
        <v>27</v>
      </c>
      <c r="J29" s="1" t="s">
        <v>85</v>
      </c>
    </row>
    <row r="30" spans="2:10" x14ac:dyDescent="0.3">
      <c r="B30" s="19" t="str">
        <f>IF(J30="X","MotorTeste_"&amp;G30&amp;" : "&amp;H5&amp;"."&amp;"InterfacePLC."&amp;G30&amp;";","")</f>
        <v>MotorTeste_FBDireto : "EL-302".InterfacePLC.FBDireto;</v>
      </c>
      <c r="C30" s="20"/>
      <c r="D30" s="20"/>
      <c r="E30" s="20"/>
      <c r="F30" s="21"/>
      <c r="G30" s="16" t="s">
        <v>28</v>
      </c>
      <c r="H30" s="17" t="s">
        <v>28</v>
      </c>
      <c r="I30" s="18" t="s">
        <v>28</v>
      </c>
      <c r="J30" s="1" t="s">
        <v>85</v>
      </c>
    </row>
    <row r="31" spans="2:10" x14ac:dyDescent="0.3">
      <c r="B31" s="19" t="str">
        <f>IF(J31="X","MotorTeste_"&amp;G31&amp;" : "&amp;H5&amp;"."&amp;"InterfacePLC."&amp;G31&amp;";","")</f>
        <v>MotorTeste_FBReverso : "EL-302".InterfacePLC.FBReverso;</v>
      </c>
      <c r="C31" s="20"/>
      <c r="D31" s="20"/>
      <c r="E31" s="20"/>
      <c r="F31" s="21"/>
      <c r="G31" s="16" t="s">
        <v>29</v>
      </c>
      <c r="H31" s="17" t="s">
        <v>29</v>
      </c>
      <c r="I31" s="18" t="s">
        <v>29</v>
      </c>
      <c r="J31" s="1" t="s">
        <v>85</v>
      </c>
    </row>
    <row r="32" spans="2:10" x14ac:dyDescent="0.3">
      <c r="B32" s="19" t="str">
        <f>IF(J32="X","MotorTeste_"&amp;G32&amp;" : "&amp;H5&amp;"."&amp;"InterfacePLC."&amp;G32&amp;";","")</f>
        <v>MotorTeste_FBBLoqueado : "EL-302".InterfacePLC.FBBLoqueado;</v>
      </c>
      <c r="C32" s="20"/>
      <c r="D32" s="20"/>
      <c r="E32" s="20"/>
      <c r="F32" s="21"/>
      <c r="G32" s="16" t="s">
        <v>30</v>
      </c>
      <c r="H32" s="17" t="s">
        <v>30</v>
      </c>
      <c r="I32" s="18" t="s">
        <v>30</v>
      </c>
      <c r="J32" s="1" t="s">
        <v>85</v>
      </c>
    </row>
    <row r="33" spans="2:10" x14ac:dyDescent="0.3">
      <c r="B33" s="19" t="str">
        <f>IF(J33="X","MotorTeste_"&amp;G33&amp;" : "&amp;H5&amp;"."&amp;"InterfacePLC."&amp;G33&amp;";","")</f>
        <v>MotorTeste_FB : "EL-302".InterfacePLC.FB;</v>
      </c>
      <c r="C33" s="20"/>
      <c r="D33" s="20"/>
      <c r="E33" s="20"/>
      <c r="F33" s="21"/>
      <c r="G33" s="16" t="s">
        <v>31</v>
      </c>
      <c r="H33" s="17" t="s">
        <v>31</v>
      </c>
      <c r="I33" s="18" t="s">
        <v>31</v>
      </c>
      <c r="J33" s="1" t="s">
        <v>85</v>
      </c>
    </row>
    <row r="34" spans="2:10" x14ac:dyDescent="0.3">
      <c r="B34" s="19" t="str">
        <f>IF(J34="X","MotorTeste_"&amp;G34&amp;" : "&amp;H5&amp;"."&amp;"InterfacePLC."&amp;G34&amp;";","")</f>
        <v>MotorTeste_Termico : "EL-302".InterfacePLC.Termico;</v>
      </c>
      <c r="C34" s="20"/>
      <c r="D34" s="20"/>
      <c r="E34" s="20"/>
      <c r="F34" s="21"/>
      <c r="G34" s="16" t="s">
        <v>32</v>
      </c>
      <c r="H34" s="17" t="s">
        <v>32</v>
      </c>
      <c r="I34" s="18" t="s">
        <v>32</v>
      </c>
      <c r="J34" s="1" t="s">
        <v>85</v>
      </c>
    </row>
    <row r="35" spans="2:10" x14ac:dyDescent="0.3">
      <c r="B35" s="19" t="str">
        <f>IF(J35="X","MotorTeste_"&amp;G35&amp;" : "&amp;H5&amp;"."&amp;"InterfacePLC."&amp;G35&amp;";","")</f>
        <v>MotorTeste_Lockout : "EL-302".InterfacePLC.Lockout;</v>
      </c>
      <c r="C35" s="20"/>
      <c r="D35" s="20"/>
      <c r="E35" s="20"/>
      <c r="F35" s="21"/>
      <c r="G35" s="16" t="s">
        <v>33</v>
      </c>
      <c r="H35" s="17" t="s">
        <v>33</v>
      </c>
      <c r="I35" s="18" t="s">
        <v>33</v>
      </c>
      <c r="J35" s="1" t="s">
        <v>85</v>
      </c>
    </row>
    <row r="36" spans="2:10" x14ac:dyDescent="0.3">
      <c r="B36" s="19" t="str">
        <f>IF(J36="X","MotorTeste_"&amp;G36&amp;" : "&amp;H5&amp;"."&amp;"InterfacePLC."&amp;G36&amp;";","")</f>
        <v>MotorTeste_Permissao : "EL-302".InterfacePLC.Permissao;</v>
      </c>
      <c r="C36" s="20"/>
      <c r="D36" s="20"/>
      <c r="E36" s="20"/>
      <c r="F36" s="21"/>
      <c r="G36" s="16" t="s">
        <v>34</v>
      </c>
      <c r="H36" s="17" t="s">
        <v>34</v>
      </c>
      <c r="I36" s="18" t="s">
        <v>34</v>
      </c>
      <c r="J36" s="1" t="s">
        <v>85</v>
      </c>
    </row>
    <row r="37" spans="2:10" x14ac:dyDescent="0.3">
      <c r="B37" s="19" t="str">
        <f>IF(J37="X","MotorTeste_"&amp;G37&amp;" : "&amp;H5&amp;"."&amp;"InterfacePLC."&amp;G37&amp;";","")</f>
        <v>MotorTeste_Falha : "EL-302".InterfacePLC.Falha;</v>
      </c>
      <c r="C37" s="20"/>
      <c r="D37" s="20"/>
      <c r="E37" s="20"/>
      <c r="F37" s="21"/>
      <c r="G37" s="16" t="s">
        <v>35</v>
      </c>
      <c r="H37" s="17" t="s">
        <v>35</v>
      </c>
      <c r="I37" s="18" t="s">
        <v>35</v>
      </c>
      <c r="J37" s="1" t="s">
        <v>85</v>
      </c>
    </row>
    <row r="38" spans="2:10" x14ac:dyDescent="0.3">
      <c r="B38" s="19" t="str">
        <f>IF(J38="X","MotorTeste_"&amp;G38&amp;" : "&amp;H5&amp;"."&amp;"InterfacePLC."&amp;G38&amp;";","")</f>
        <v>MotorTeste_Partindo : "EL-302".InterfacePLC.Partindo;</v>
      </c>
      <c r="C38" s="20"/>
      <c r="D38" s="20"/>
      <c r="E38" s="20"/>
      <c r="F38" s="21"/>
      <c r="G38" s="16" t="s">
        <v>36</v>
      </c>
      <c r="H38" s="17" t="s">
        <v>36</v>
      </c>
      <c r="I38" s="18" t="s">
        <v>36</v>
      </c>
      <c r="J38" s="1" t="s">
        <v>85</v>
      </c>
    </row>
    <row r="39" spans="2:10" x14ac:dyDescent="0.3">
      <c r="B39" s="19" t="str">
        <f>IF(J39="X","MotorTeste_"&amp;G39&amp;" : "&amp;H5&amp;"."&amp;"InterfacePLC."&amp;G39&amp;";","")</f>
        <v>MotorTeste_Parando : "EL-302".InterfacePLC.Parando;</v>
      </c>
      <c r="C39" s="20"/>
      <c r="D39" s="20"/>
      <c r="E39" s="20"/>
      <c r="F39" s="21"/>
      <c r="G39" s="16" t="s">
        <v>37</v>
      </c>
      <c r="H39" s="17" t="s">
        <v>37</v>
      </c>
      <c r="I39" s="18" t="s">
        <v>37</v>
      </c>
      <c r="J39" s="1" t="s">
        <v>85</v>
      </c>
    </row>
    <row r="40" spans="2:10" x14ac:dyDescent="0.3">
      <c r="B40" s="19" t="str">
        <f>IF(J40="X","MotorTeste_"&amp;G40&amp;" : "&amp;H5&amp;"."&amp;"InterfacePLC."&amp;G40&amp;";","")</f>
        <v>MotorTeste_InterlocksOK : "EL-302".InterfacePLC.InterlocksOK;</v>
      </c>
      <c r="C40" s="20"/>
      <c r="D40" s="20"/>
      <c r="E40" s="20"/>
      <c r="F40" s="21"/>
      <c r="G40" s="16" t="s">
        <v>38</v>
      </c>
      <c r="H40" s="17" t="s">
        <v>38</v>
      </c>
      <c r="I40" s="18" t="s">
        <v>38</v>
      </c>
      <c r="J40" s="1" t="s">
        <v>85</v>
      </c>
    </row>
    <row r="41" spans="2:10" x14ac:dyDescent="0.3">
      <c r="B41" s="19" t="str">
        <f>IF(J41="X","MotorTeste_"&amp;G41&amp;" : "&amp;H5&amp;"."&amp;"InterfacePLC."&amp;G41&amp;";","")</f>
        <v>MotorTeste_PermissivosOK : "EL-302".InterfacePLC.PermissivosOK;</v>
      </c>
      <c r="C41" s="20"/>
      <c r="D41" s="20"/>
      <c r="E41" s="20"/>
      <c r="F41" s="21"/>
      <c r="G41" s="16" t="s">
        <v>39</v>
      </c>
      <c r="H41" s="17" t="s">
        <v>39</v>
      </c>
      <c r="I41" s="18" t="s">
        <v>39</v>
      </c>
      <c r="J41" s="1" t="s">
        <v>85</v>
      </c>
    </row>
    <row r="42" spans="2:10" x14ac:dyDescent="0.3">
      <c r="B42" s="19" t="str">
        <f>IF(J42="X","MotorTeste_"&amp;G42&amp;" : "&amp;H5&amp;"."&amp;"InterfacePLC."&amp;G42&amp;";","")</f>
        <v>MotorTeste_DesalocMe : "EL-302".InterfacePLC.DesalocMe;</v>
      </c>
      <c r="C42" s="20"/>
      <c r="D42" s="20"/>
      <c r="E42" s="20"/>
      <c r="F42" s="21"/>
      <c r="G42" s="16" t="s">
        <v>40</v>
      </c>
      <c r="H42" s="17" t="s">
        <v>40</v>
      </c>
      <c r="I42" s="18" t="s">
        <v>40</v>
      </c>
      <c r="J42" s="1" t="s">
        <v>85</v>
      </c>
    </row>
    <row r="43" spans="2:10" x14ac:dyDescent="0.3">
      <c r="B43" s="19" t="str">
        <f>IF(J43="X","MotorTeste_"&amp;G43&amp;" : "&amp;H5&amp;"."&amp;"InterfacePLC."&amp;G43&amp;";","")</f>
        <v>MotorTeste_FBLigado : "EL-302".InterfacePLC.FBLigado;</v>
      </c>
      <c r="C43" s="20"/>
      <c r="D43" s="20"/>
      <c r="E43" s="20"/>
      <c r="F43" s="21"/>
      <c r="G43" s="16" t="s">
        <v>41</v>
      </c>
      <c r="H43" s="17" t="s">
        <v>41</v>
      </c>
      <c r="I43" s="18" t="s">
        <v>41</v>
      </c>
      <c r="J43" s="1" t="s">
        <v>85</v>
      </c>
    </row>
    <row r="44" spans="2:10" x14ac:dyDescent="0.3">
      <c r="B44" s="19" t="str">
        <f>IF(J44="X","MotorTeste_"&amp;G44&amp;" : "&amp;H5&amp;"."&amp;"InterfacePLC."&amp;G44&amp;";","")</f>
        <v>MotorTeste_Contaminador : "EL-302".InterfacePLC.Contaminador;</v>
      </c>
      <c r="C44" s="20"/>
      <c r="D44" s="20"/>
      <c r="E44" s="20"/>
      <c r="F44" s="21"/>
      <c r="G44" s="16" t="s">
        <v>42</v>
      </c>
      <c r="H44" s="17" t="s">
        <v>42</v>
      </c>
      <c r="I44" s="18" t="s">
        <v>42</v>
      </c>
      <c r="J44" s="1" t="s">
        <v>85</v>
      </c>
    </row>
    <row r="45" spans="2:10" x14ac:dyDescent="0.3">
      <c r="B45" s="19" t="str">
        <f>IF(J45="X","MotorTeste_"&amp;G45&amp;" : "&amp;H5&amp;"."&amp;"InterfacePLC."&amp;G45&amp;";","")</f>
        <v>MotorTeste_Manutencao : "EL-302".InterfacePLC.Manutencao;</v>
      </c>
      <c r="C45" s="20"/>
      <c r="D45" s="20"/>
      <c r="E45" s="20"/>
      <c r="F45" s="21"/>
      <c r="G45" s="16" t="s">
        <v>43</v>
      </c>
      <c r="H45" s="17" t="s">
        <v>43</v>
      </c>
      <c r="I45" s="18" t="s">
        <v>43</v>
      </c>
      <c r="J45" s="1" t="s">
        <v>85</v>
      </c>
    </row>
    <row r="46" spans="2:10" x14ac:dyDescent="0.3">
      <c r="B46" s="19" t="str">
        <f>IF(J46="X","MotorTeste_"&amp;G46&amp;" : "&amp;H5&amp;"."&amp;"InterfacePLC."&amp;G46&amp;";","")</f>
        <v>MotorTeste_ByPassActive : "EL-302".InterfacePLC.ByPassActive;</v>
      </c>
      <c r="C46" s="20"/>
      <c r="D46" s="20"/>
      <c r="E46" s="20"/>
      <c r="F46" s="21"/>
      <c r="G46" s="16" t="s">
        <v>44</v>
      </c>
      <c r="H46" s="17" t="s">
        <v>44</v>
      </c>
      <c r="I46" s="18" t="s">
        <v>44</v>
      </c>
      <c r="J46" s="1" t="s">
        <v>85</v>
      </c>
    </row>
    <row r="47" spans="2:10" x14ac:dyDescent="0.3">
      <c r="B47" s="19" t="str">
        <f>IF(J47="X","MotorTeste_"&amp;G47&amp;" : "&amp;H5&amp;"."&amp;"InterfacePLC."&amp;G47&amp;";","")</f>
        <v>MotorTeste_BloqCarga : "EL-302".InterfacePLC.BloqCarga;</v>
      </c>
      <c r="C47" s="20"/>
      <c r="D47" s="20"/>
      <c r="E47" s="20"/>
      <c r="F47" s="21"/>
      <c r="G47" s="16" t="s">
        <v>45</v>
      </c>
      <c r="H47" s="17" t="s">
        <v>45</v>
      </c>
      <c r="I47" s="18" t="s">
        <v>45</v>
      </c>
      <c r="J47" s="1" t="s">
        <v>85</v>
      </c>
    </row>
    <row r="48" spans="2:10" x14ac:dyDescent="0.3">
      <c r="B48" s="19" t="str">
        <f>IF(J48="X","MotorTeste_"&amp;G48&amp;" : "&amp;H5&amp;"."&amp;"InterfacePLC."&amp;G48&amp;";","")</f>
        <v>MotorTeste_BloqSensorMov : "EL-302".InterfacePLC.BloqSensorMov;</v>
      </c>
      <c r="C48" s="20"/>
      <c r="D48" s="20"/>
      <c r="E48" s="20"/>
      <c r="F48" s="21"/>
      <c r="G48" s="16" t="s">
        <v>46</v>
      </c>
      <c r="H48" s="17" t="s">
        <v>46</v>
      </c>
      <c r="I48" s="18" t="s">
        <v>46</v>
      </c>
      <c r="J48" s="1" t="s">
        <v>85</v>
      </c>
    </row>
    <row r="49" spans="2:10" x14ac:dyDescent="0.3">
      <c r="B49" s="19" t="str">
        <f>IF(J49="X","MotorTeste_"&amp;G49&amp;" : "&amp;H5&amp;"."&amp;"InterfacePLC."&amp;G49&amp;";","")</f>
        <v>MotorTeste_BloqMaxPartidas : "EL-302".InterfacePLC.BloqMaxPartidas;</v>
      </c>
      <c r="C49" s="20"/>
      <c r="D49" s="20"/>
      <c r="E49" s="20"/>
      <c r="F49" s="21"/>
      <c r="G49" s="16" t="s">
        <v>47</v>
      </c>
      <c r="H49" s="17" t="s">
        <v>47</v>
      </c>
      <c r="I49" s="18" t="s">
        <v>47</v>
      </c>
      <c r="J49" s="1" t="s">
        <v>85</v>
      </c>
    </row>
    <row r="50" spans="2:10" x14ac:dyDescent="0.3">
      <c r="B50" s="19" t="str">
        <f>IF(J50="X","MotorTeste_"&amp;G50&amp;" : "&amp;H5&amp;"."&amp;"InterfacePLC."&amp;G50&amp;";","")</f>
        <v>MotorTeste_ParadaControlada : "EL-302".InterfacePLC.ParadaControlada;</v>
      </c>
      <c r="C50" s="20"/>
      <c r="D50" s="20"/>
      <c r="E50" s="20"/>
      <c r="F50" s="21"/>
      <c r="G50" s="16" t="s">
        <v>48</v>
      </c>
      <c r="H50" s="17" t="s">
        <v>48</v>
      </c>
      <c r="I50" s="18" t="s">
        <v>48</v>
      </c>
      <c r="J50" s="1" t="s">
        <v>85</v>
      </c>
    </row>
    <row r="51" spans="2:10" x14ac:dyDescent="0.3">
      <c r="B51" s="19" t="str">
        <f>IF(J51="X","MotorTeste_"&amp;G51&amp;" : "&amp;H5&amp;"."&amp;"InterfacePLC."&amp;G51&amp;";","")</f>
        <v>MotorTeste_ParadaImediata : "EL-302".InterfacePLC.ParadaImediata;</v>
      </c>
      <c r="C51" s="20"/>
      <c r="D51" s="20"/>
      <c r="E51" s="20"/>
      <c r="F51" s="21"/>
      <c r="G51" s="16" t="s">
        <v>49</v>
      </c>
      <c r="H51" s="17" t="s">
        <v>49</v>
      </c>
      <c r="I51" s="18" t="s">
        <v>49</v>
      </c>
      <c r="J51" s="1" t="s">
        <v>85</v>
      </c>
    </row>
    <row r="52" spans="2:10" x14ac:dyDescent="0.3">
      <c r="B52" s="19" t="str">
        <f>IF(J52="X","MotorTeste_"&amp;G52&amp;" : "&amp;H5&amp;"."&amp;"InterfacePLC."&amp;G52&amp;";","")</f>
        <v>MotorTeste_STS1 : "EL-302".InterfacePLC.STS1;</v>
      </c>
      <c r="C52" s="20"/>
      <c r="D52" s="20"/>
      <c r="E52" s="20"/>
      <c r="F52" s="21"/>
      <c r="G52" s="16" t="s">
        <v>50</v>
      </c>
      <c r="H52" s="17" t="s">
        <v>50</v>
      </c>
      <c r="I52" s="18" t="s">
        <v>50</v>
      </c>
      <c r="J52" s="1" t="s">
        <v>85</v>
      </c>
    </row>
    <row r="53" spans="2:10" x14ac:dyDescent="0.3">
      <c r="B53" s="19" t="str">
        <f>IF(J53="X","MotorTeste_"&amp;G53&amp;" : "&amp;H5&amp;"."&amp;"InterfacePLC."&amp;G53&amp;";","")</f>
        <v>MotorTeste_Estado : "EL-302".InterfacePLC.Estado;</v>
      </c>
      <c r="C53" s="20"/>
      <c r="D53" s="20"/>
      <c r="E53" s="20"/>
      <c r="F53" s="21"/>
      <c r="G53" s="16" t="s">
        <v>51</v>
      </c>
      <c r="H53" s="17" t="s">
        <v>51</v>
      </c>
      <c r="I53" s="18" t="s">
        <v>51</v>
      </c>
      <c r="J53" s="1" t="s">
        <v>85</v>
      </c>
    </row>
    <row r="54" spans="2:10" x14ac:dyDescent="0.3">
      <c r="B54" s="19" t="str">
        <f>IF(J54="X","MotorTeste_"&amp;G54&amp;" : "&amp;H5&amp;"."&amp;"InterfacePLC."&amp;G54&amp;";","")</f>
        <v>MotorTeste_Idx : "EL-302".InterfacePLC.Idx;</v>
      </c>
      <c r="C54" s="20"/>
      <c r="D54" s="20"/>
      <c r="E54" s="20"/>
      <c r="F54" s="21"/>
      <c r="G54" s="16" t="s">
        <v>52</v>
      </c>
      <c r="H54" s="17" t="s">
        <v>52</v>
      </c>
      <c r="I54" s="18" t="s">
        <v>52</v>
      </c>
      <c r="J54" s="1" t="s">
        <v>85</v>
      </c>
    </row>
    <row r="55" spans="2:10" x14ac:dyDescent="0.3">
      <c r="B55" s="19" t="str">
        <f>IF(J55="X","MotorTeste_"&amp;G55&amp;" : "&amp;H5&amp;"."&amp;"InterfacePLC."&amp;G55&amp;";","")</f>
        <v>MotorTeste_TipoPartida : "EL-302".InterfacePLC.TipoPartida;</v>
      </c>
      <c r="C55" s="20"/>
      <c r="D55" s="20"/>
      <c r="E55" s="20"/>
      <c r="F55" s="21"/>
      <c r="G55" s="16" t="s">
        <v>53</v>
      </c>
      <c r="H55" s="17" t="s">
        <v>53</v>
      </c>
      <c r="I55" s="18" t="s">
        <v>53</v>
      </c>
      <c r="J55" s="1" t="s">
        <v>85</v>
      </c>
    </row>
    <row r="56" spans="2:10" x14ac:dyDescent="0.3">
      <c r="B56" s="19" t="str">
        <f>IF(J56="X","MotorTeste_"&amp;G56&amp;" : "&amp;H5&amp;"."&amp;"InterfacePLC."&amp;G56&amp;";","")</f>
        <v>MotorTeste_FreqEscrita : "EL-302".InterfacePLC.FreqEscrita;</v>
      </c>
      <c r="C56" s="20"/>
      <c r="D56" s="20"/>
      <c r="E56" s="20"/>
      <c r="F56" s="21"/>
      <c r="G56" s="16" t="s">
        <v>54</v>
      </c>
      <c r="H56" s="17" t="s">
        <v>54</v>
      </c>
      <c r="I56" s="18" t="s">
        <v>54</v>
      </c>
      <c r="J56" s="1" t="s">
        <v>85</v>
      </c>
    </row>
    <row r="57" spans="2:10" x14ac:dyDescent="0.3">
      <c r="B57" s="19" t="str">
        <f>IF(J57="X","MotorTeste_"&amp;G57&amp;" : "&amp;H5&amp;"."&amp;"InterfacePLC."&amp;G57&amp;";","")</f>
        <v>MotorTeste_FreqLida : "EL-302".InterfacePLC.FreqLida;</v>
      </c>
      <c r="C57" s="20"/>
      <c r="D57" s="20"/>
      <c r="E57" s="20"/>
      <c r="F57" s="21"/>
      <c r="G57" s="16" t="s">
        <v>55</v>
      </c>
      <c r="H57" s="17" t="s">
        <v>55</v>
      </c>
      <c r="I57" s="18" t="s">
        <v>55</v>
      </c>
      <c r="J57" s="1" t="s">
        <v>85</v>
      </c>
    </row>
    <row r="58" spans="2:10" x14ac:dyDescent="0.3">
      <c r="B58" s="19" t="str">
        <f>IF(J58="X","MotorTeste_"&amp;G58&amp;" : "&amp;H5&amp;"."&amp;"InterfacePLC."&amp;G58&amp;";","")</f>
        <v>MotorTeste_AlarmeTipo : "EL-302".InterfacePLC.AlarmeTipo;</v>
      </c>
      <c r="C58" s="20"/>
      <c r="D58" s="20"/>
      <c r="E58" s="20"/>
      <c r="F58" s="21"/>
      <c r="G58" s="16" t="s">
        <v>56</v>
      </c>
      <c r="H58" s="17" t="s">
        <v>56</v>
      </c>
      <c r="I58" s="18" t="s">
        <v>56</v>
      </c>
      <c r="J58" s="1" t="s">
        <v>85</v>
      </c>
    </row>
    <row r="59" spans="2:10" x14ac:dyDescent="0.3">
      <c r="B59" s="19" t="str">
        <f>IF(J59="X","MotorTeste_"&amp;G59&amp;" : "&amp;H5&amp;"."&amp;"InterfacePLC."&amp;G59&amp;";","")</f>
        <v>MotorTeste_CorrenteLida : "EL-302".InterfacePLC.CorrenteLida;</v>
      </c>
      <c r="C59" s="20"/>
      <c r="D59" s="20"/>
      <c r="E59" s="20"/>
      <c r="F59" s="21"/>
      <c r="G59" s="16" t="s">
        <v>57</v>
      </c>
      <c r="H59" s="17" t="s">
        <v>57</v>
      </c>
      <c r="I59" s="18" t="s">
        <v>57</v>
      </c>
      <c r="J59" s="1" t="s">
        <v>85</v>
      </c>
    </row>
    <row r="60" spans="2:10" x14ac:dyDescent="0.3">
      <c r="B60" s="19" t="str">
        <f>IF(J60="X","MotorTeste_"&amp;G60&amp;" : "&amp;H5&amp;"."&amp;"InterfacePLC."&amp;G60&amp;";","")</f>
        <v>MotorTeste_CorrenteNorminal : "EL-302".InterfacePLC.CorrenteNorminal;</v>
      </c>
      <c r="C60" s="20"/>
      <c r="D60" s="20"/>
      <c r="E60" s="20"/>
      <c r="F60" s="21"/>
      <c r="G60" s="16" t="s">
        <v>58</v>
      </c>
      <c r="H60" s="17" t="s">
        <v>58</v>
      </c>
      <c r="I60" s="18" t="s">
        <v>58</v>
      </c>
      <c r="J60" s="1" t="s">
        <v>85</v>
      </c>
    </row>
    <row r="61" spans="2:10" x14ac:dyDescent="0.3">
      <c r="B61" s="19" t="str">
        <f>IF(J61="X","MotorTeste_"&amp;G61&amp;" : "&amp;H5&amp;"."&amp;"InterfacePLC."&amp;G61&amp;";","")</f>
        <v>MotorTeste_RPM_Minimo : "EL-302".InterfacePLC.RPM_Minimo;</v>
      </c>
      <c r="C61" s="20"/>
      <c r="D61" s="20"/>
      <c r="E61" s="20"/>
      <c r="F61" s="21"/>
      <c r="G61" s="16" t="s">
        <v>59</v>
      </c>
      <c r="H61" s="17" t="s">
        <v>59</v>
      </c>
      <c r="I61" s="18" t="s">
        <v>59</v>
      </c>
      <c r="J61" s="1" t="s">
        <v>85</v>
      </c>
    </row>
    <row r="62" spans="2:10" x14ac:dyDescent="0.3">
      <c r="B62" s="19" t="str">
        <f>IF(J62="X","MotorTeste_"&amp;G62&amp;" : "&amp;H5&amp;"."&amp;"InterfacePLC."&amp;G62&amp;";","")</f>
        <v>MotorTeste_RPM_Maximo : "EL-302".InterfacePLC.RPM_Maximo;</v>
      </c>
      <c r="C62" s="20"/>
      <c r="D62" s="20"/>
      <c r="E62" s="20"/>
      <c r="F62" s="21"/>
      <c r="G62" s="16" t="s">
        <v>60</v>
      </c>
      <c r="H62" s="17" t="s">
        <v>60</v>
      </c>
      <c r="I62" s="18" t="s">
        <v>60</v>
      </c>
      <c r="J62" s="1" t="s">
        <v>85</v>
      </c>
    </row>
    <row r="63" spans="2:10" x14ac:dyDescent="0.3">
      <c r="B63" s="19" t="str">
        <f>IF(J63="X","MotorTeste_"&amp;G63&amp;" : "&amp;H5&amp;"."&amp;"InterfacePLC."&amp;G63&amp;";","")</f>
        <v>MotorTeste_RPM : "EL-302".InterfacePLC.RPM;</v>
      </c>
      <c r="C63" s="20"/>
      <c r="D63" s="20"/>
      <c r="E63" s="20"/>
      <c r="F63" s="21"/>
      <c r="G63" s="16" t="s">
        <v>61</v>
      </c>
      <c r="H63" s="17" t="s">
        <v>61</v>
      </c>
      <c r="I63" s="18" t="s">
        <v>61</v>
      </c>
      <c r="J63" s="1" t="s">
        <v>85</v>
      </c>
    </row>
    <row r="64" spans="2:10" x14ac:dyDescent="0.3">
      <c r="B64" s="19" t="str">
        <f>IF(J64="X","MotorTeste_"&amp;G64&amp;" : "&amp;H5&amp;"."&amp;"InterfacePLC."&amp;G64&amp;";","")</f>
        <v>MotorTeste_SaidaResetFalha : "EL-302".InterfacePLC.SaidaResetFalha;</v>
      </c>
      <c r="C64" s="20"/>
      <c r="D64" s="20"/>
      <c r="E64" s="20"/>
      <c r="F64" s="21"/>
      <c r="G64" s="16" t="s">
        <v>62</v>
      </c>
      <c r="H64" s="17" t="s">
        <v>62</v>
      </c>
      <c r="I64" s="18" t="s">
        <v>62</v>
      </c>
      <c r="J64" s="1" t="s">
        <v>85</v>
      </c>
    </row>
    <row r="65" spans="2:10" x14ac:dyDescent="0.3">
      <c r="B65" s="19" t="str">
        <f>IF(J65="X","MotorTeste_"&amp;G65&amp;" : "&amp;H5&amp;"."&amp;"InterfacePLC."&amp;G65&amp;";","")</f>
        <v>MotorTeste_LigaDireto : "EL-302".InterfacePLC.LigaDireto;</v>
      </c>
      <c r="C65" s="20"/>
      <c r="D65" s="20"/>
      <c r="E65" s="20"/>
      <c r="F65" s="21"/>
      <c r="G65" s="16" t="s">
        <v>63</v>
      </c>
      <c r="H65" s="17" t="s">
        <v>63</v>
      </c>
      <c r="I65" s="18" t="s">
        <v>63</v>
      </c>
      <c r="J65" s="1" t="s">
        <v>85</v>
      </c>
    </row>
    <row r="66" spans="2:10" x14ac:dyDescent="0.3">
      <c r="B66" s="19" t="str">
        <f>IF(J66="X","MotorTeste_"&amp;G66&amp;" : "&amp;H5&amp;"."&amp;"InterfacePLC."&amp;G66&amp;";","")</f>
        <v>MotorTeste_LigaReverso : "EL-302".InterfacePLC.LigaReverso;</v>
      </c>
      <c r="C66" s="20"/>
      <c r="D66" s="20"/>
      <c r="E66" s="20"/>
      <c r="F66" s="21"/>
      <c r="G66" s="16" t="s">
        <v>64</v>
      </c>
      <c r="H66" s="17" t="s">
        <v>64</v>
      </c>
      <c r="I66" s="18" t="s">
        <v>64</v>
      </c>
      <c r="J66" s="1" t="s">
        <v>85</v>
      </c>
    </row>
    <row r="67" spans="2:10" x14ac:dyDescent="0.3">
      <c r="B67" s="19" t="str">
        <f>IF(J67="X","MotorTeste_"&amp;G67&amp;" : "&amp;H5&amp;"."&amp;"InterfacePLC."&amp;G67&amp;";","")</f>
        <v>MotorTeste_Liga : "EL-302".InterfacePLC.Liga;</v>
      </c>
      <c r="C67" s="20"/>
      <c r="D67" s="20"/>
      <c r="E67" s="20"/>
      <c r="F67" s="21"/>
      <c r="G67" s="16" t="s">
        <v>65</v>
      </c>
      <c r="H67" s="17" t="s">
        <v>65</v>
      </c>
      <c r="I67" s="18" t="s">
        <v>65</v>
      </c>
      <c r="J67" s="1" t="s">
        <v>85</v>
      </c>
    </row>
    <row r="68" spans="2:10" x14ac:dyDescent="0.3">
      <c r="B68" s="19" t="str">
        <f>IF(J68="X","MotorTeste_"&amp;G68&amp;" : "&amp;H5&amp;"."&amp;"InterfacePLC."&amp;G68&amp;";","")</f>
        <v>MotorTeste_Pronto : "EL-302".InterfacePLC.Pronto;</v>
      </c>
      <c r="C68" s="20"/>
      <c r="D68" s="20"/>
      <c r="E68" s="20"/>
      <c r="F68" s="21"/>
      <c r="G68" s="16" t="s">
        <v>66</v>
      </c>
      <c r="H68" s="17" t="s">
        <v>66</v>
      </c>
      <c r="I68" s="18" t="s">
        <v>66</v>
      </c>
      <c r="J68" s="1" t="s">
        <v>85</v>
      </c>
    </row>
    <row r="69" spans="2:10" x14ac:dyDescent="0.3">
      <c r="B69" s="19" t="str">
        <f>IF(J69="X","MotorTeste_"&amp;G69&amp;" : "&amp;H5&amp;"."&amp;"InterfacePLC."&amp;G69&amp;";","")</f>
        <v>MotorTeste_Prontorev : "EL-302".InterfacePLC.Prontorev;</v>
      </c>
      <c r="C69" s="20"/>
      <c r="D69" s="20"/>
      <c r="E69" s="20"/>
      <c r="F69" s="21"/>
      <c r="G69" s="16" t="s">
        <v>67</v>
      </c>
      <c r="H69" s="17" t="s">
        <v>67</v>
      </c>
      <c r="I69" s="18" t="s">
        <v>67</v>
      </c>
      <c r="J69" s="1" t="s">
        <v>85</v>
      </c>
    </row>
    <row r="70" spans="2:10" x14ac:dyDescent="0.3">
      <c r="B70" s="19" t="str">
        <f>IF(J70="X","MotorTeste_"&amp;G70&amp;" : "&amp;H5&amp;"."&amp;"InterfacePLC."&amp;G70&amp;";","")</f>
        <v>MotorTeste_Simula : "EL-302".InterfacePLC.Simula;</v>
      </c>
      <c r="C70" s="20"/>
      <c r="D70" s="20"/>
      <c r="E70" s="20"/>
      <c r="F70" s="21"/>
      <c r="G70" s="16" t="s">
        <v>68</v>
      </c>
      <c r="H70" s="17" t="s">
        <v>68</v>
      </c>
      <c r="I70" s="18" t="s">
        <v>68</v>
      </c>
      <c r="J70" s="1" t="s">
        <v>85</v>
      </c>
    </row>
    <row r="71" spans="2:10" x14ac:dyDescent="0.3">
      <c r="B71" s="19" t="str">
        <f>IF(J71="X","MotorTeste_"&amp;G71&amp;" : "&amp;H5&amp;"."&amp;"InterfacePLC."&amp;G71&amp;";","")</f>
        <v>MotorTeste_ProntoDir : "EL-302".InterfacePLC.ProntoDir;</v>
      </c>
      <c r="C71" s="20"/>
      <c r="D71" s="20"/>
      <c r="E71" s="20"/>
      <c r="F71" s="21"/>
      <c r="G71" s="16" t="s">
        <v>69</v>
      </c>
      <c r="H71" s="17" t="s">
        <v>69</v>
      </c>
      <c r="I71" s="18" t="s">
        <v>69</v>
      </c>
      <c r="J71" s="1" t="s">
        <v>85</v>
      </c>
    </row>
    <row r="72" spans="2:10" x14ac:dyDescent="0.3">
      <c r="B72" s="19" t="str">
        <f>IF(J72="X","MotorTeste_"&amp;G72&amp;" : "&amp;H5&amp;"."&amp;"InterfacePLC."&amp;G72&amp;";","")</f>
        <v>MotorTeste_CascLigada : "EL-302".InterfacePLC.CascLigada;</v>
      </c>
      <c r="C72" s="20"/>
      <c r="D72" s="20"/>
      <c r="E72" s="20"/>
      <c r="F72" s="21"/>
      <c r="G72" s="16" t="s">
        <v>70</v>
      </c>
      <c r="H72" s="17" t="s">
        <v>70</v>
      </c>
      <c r="I72" s="18" t="s">
        <v>70</v>
      </c>
      <c r="J72" s="1" t="s">
        <v>85</v>
      </c>
    </row>
    <row r="73" spans="2:10" x14ac:dyDescent="0.3">
      <c r="B73" s="19" t="str">
        <f>IF(J73="X","MotorTeste_"&amp;G73&amp;" : "&amp;H5&amp;"."&amp;"InterfacePLC."&amp;G73&amp;";","")</f>
        <v>MotorTeste_CascDesligada : "EL-302".InterfacePLC.CascDesligada;</v>
      </c>
      <c r="C73" s="20"/>
      <c r="D73" s="20"/>
      <c r="E73" s="20"/>
      <c r="F73" s="21"/>
      <c r="G73" s="16" t="s">
        <v>71</v>
      </c>
      <c r="H73" s="17" t="s">
        <v>71</v>
      </c>
      <c r="I73" s="18" t="s">
        <v>71</v>
      </c>
      <c r="J73" s="1" t="s">
        <v>85</v>
      </c>
    </row>
    <row r="74" spans="2:10" x14ac:dyDescent="0.3">
      <c r="B74" s="19" t="str">
        <f>IF(J74="X","MotorTeste_"&amp;G74&amp;" : "&amp;H5&amp;"."&amp;"InterfacePLC."&amp;G74&amp;";","")</f>
        <v>MotorTeste_Tempo_Esvaziamento : "EL-302".InterfacePLC.Tempo_Esvaziamento;</v>
      </c>
      <c r="C74" s="20"/>
      <c r="D74" s="20"/>
      <c r="E74" s="20"/>
      <c r="F74" s="21"/>
      <c r="G74" s="16" t="s">
        <v>72</v>
      </c>
      <c r="H74" s="17" t="s">
        <v>72</v>
      </c>
      <c r="I74" s="18" t="s">
        <v>72</v>
      </c>
      <c r="J74" s="1" t="s">
        <v>85</v>
      </c>
    </row>
    <row r="75" spans="2:10" x14ac:dyDescent="0.3">
      <c r="B75" s="19" t="str">
        <f>IF(J75="X","MotorTeste_"&amp;G75&amp;" : "&amp;H5&amp;"."&amp;"InterfacePLC."&amp;G75&amp;";","")</f>
        <v>MotorTeste_Tempo_CascLigada : "EL-302".InterfacePLC.Tempo_CascLigada;</v>
      </c>
      <c r="C75" s="20"/>
      <c r="D75" s="20"/>
      <c r="E75" s="20"/>
      <c r="F75" s="21"/>
      <c r="G75" s="16" t="s">
        <v>73</v>
      </c>
      <c r="H75" s="17" t="s">
        <v>73</v>
      </c>
      <c r="I75" s="18" t="s">
        <v>73</v>
      </c>
      <c r="J75" s="1" t="s">
        <v>85</v>
      </c>
    </row>
    <row r="76" spans="2:10" x14ac:dyDescent="0.3">
      <c r="B76" s="19" t="str">
        <f>IF(J76="X","MotorTeste_"&amp;G76&amp;" : "&amp;H5&amp;"."&amp;"InterfacePLC."&amp;G76&amp;";","")</f>
        <v>MotorTeste_Tempo_CascDesligada : "EL-302".InterfacePLC.Tempo_CascDesligada;</v>
      </c>
      <c r="C76" s="20"/>
      <c r="D76" s="20"/>
      <c r="E76" s="20"/>
      <c r="F76" s="21"/>
      <c r="G76" s="16" t="s">
        <v>74</v>
      </c>
      <c r="H76" s="17" t="s">
        <v>74</v>
      </c>
      <c r="I76" s="18" t="s">
        <v>74</v>
      </c>
      <c r="J76" s="1" t="s">
        <v>85</v>
      </c>
    </row>
    <row r="77" spans="2:10" x14ac:dyDescent="0.3">
      <c r="B77" s="19" t="str">
        <f>IF(J77="X","MotorTeste_"&amp;G77&amp;" : "&amp;H5&amp;"."&amp;"InterfacePLC."&amp;G77&amp;";","")</f>
        <v>MotorTeste_Tempo_FalhaAcionamento : "EL-302".InterfacePLC.Tempo_FalhaAcionamento;</v>
      </c>
      <c r="C77" s="20"/>
      <c r="D77" s="20"/>
      <c r="E77" s="20"/>
      <c r="F77" s="21"/>
      <c r="G77" s="16" t="s">
        <v>75</v>
      </c>
      <c r="H77" s="17" t="s">
        <v>75</v>
      </c>
      <c r="I77" s="18" t="s">
        <v>75</v>
      </c>
      <c r="J77" s="1" t="s">
        <v>85</v>
      </c>
    </row>
    <row r="78" spans="2:10" x14ac:dyDescent="0.3">
      <c r="B78" s="19" t="str">
        <f>IF(J78="X","MotorTeste_"&amp;G78&amp;" : "&amp;H5&amp;"."&amp;"InterfacePLC."&amp;G78&amp;";","")</f>
        <v>MotorTeste_Tempo_Teste : "EL-302".InterfacePLC.Tempo_Teste;</v>
      </c>
      <c r="C78" s="20"/>
      <c r="D78" s="20"/>
      <c r="E78" s="20"/>
      <c r="F78" s="21"/>
      <c r="G78" s="16" t="s">
        <v>76</v>
      </c>
      <c r="H78" s="17" t="s">
        <v>76</v>
      </c>
      <c r="I78" s="18" t="s">
        <v>76</v>
      </c>
      <c r="J78" s="1" t="s">
        <v>85</v>
      </c>
    </row>
    <row r="79" spans="2:10" x14ac:dyDescent="0.3">
      <c r="B79" s="19" t="str">
        <f>IF(J79="X","MotorTeste_"&amp;G79&amp;" : "&amp;H5&amp;"."&amp;"InterfacePLC."&amp;G79&amp;";","")</f>
        <v>MotorTeste_Aux : "EL-302".InterfacePLC.Aux;</v>
      </c>
      <c r="C79" s="20"/>
      <c r="D79" s="20"/>
      <c r="E79" s="20"/>
      <c r="F79" s="21"/>
      <c r="G79" s="16" t="s">
        <v>77</v>
      </c>
      <c r="H79" s="17" t="s">
        <v>77</v>
      </c>
      <c r="I79" s="18" t="s">
        <v>77</v>
      </c>
      <c r="J79" s="1" t="s">
        <v>85</v>
      </c>
    </row>
    <row r="80" spans="2:10" x14ac:dyDescent="0.3">
      <c r="B80" s="19" t="str">
        <f>IF(J80="X","MotorTeste_"&amp;G80&amp;" : "&amp;H5&amp;"."&amp;"InterfacePLC."&amp;G80&amp;";","")</f>
        <v>MotorTeste_ONS : "EL-302".InterfacePLC.ONS;</v>
      </c>
      <c r="C80" s="20"/>
      <c r="D80" s="20"/>
      <c r="E80" s="20"/>
      <c r="F80" s="21"/>
      <c r="G80" s="16" t="s">
        <v>78</v>
      </c>
      <c r="H80" s="17" t="s">
        <v>78</v>
      </c>
      <c r="I80" s="18" t="s">
        <v>78</v>
      </c>
      <c r="J80" s="1" t="s">
        <v>85</v>
      </c>
    </row>
    <row r="81" spans="2:10" x14ac:dyDescent="0.3">
      <c r="B81" s="19" t="str">
        <f>IF(J81="X","MotorTeste_"&amp;G81&amp;" : "&amp;H5&amp;"."&amp;"InterfacePLC."&amp;G81&amp;";","")</f>
        <v>MotorTeste_CorrenteCapMin : "EL-302".InterfacePLC.CorrenteCapMin;</v>
      </c>
      <c r="C81" s="20"/>
      <c r="D81" s="20"/>
      <c r="E81" s="20"/>
      <c r="F81" s="21"/>
      <c r="G81" s="16" t="s">
        <v>79</v>
      </c>
      <c r="H81" s="17" t="s">
        <v>79</v>
      </c>
      <c r="I81" s="18" t="s">
        <v>79</v>
      </c>
      <c r="J81" s="1" t="s">
        <v>85</v>
      </c>
    </row>
    <row r="82" spans="2:10" x14ac:dyDescent="0.3">
      <c r="B82" s="19" t="str">
        <f>IF(J82="X","MotorTeste_"&amp;G82&amp;" : "&amp;H5&amp;"."&amp;"InterfacePLC."&amp;G82&amp;";","")</f>
        <v>MotorTeste_CorrenteCapMax : "EL-302".InterfacePLC.CorrenteCapMax;</v>
      </c>
      <c r="C82" s="20"/>
      <c r="D82" s="20"/>
      <c r="E82" s="20"/>
      <c r="F82" s="21"/>
      <c r="G82" s="16" t="s">
        <v>80</v>
      </c>
      <c r="H82" s="17" t="s">
        <v>80</v>
      </c>
      <c r="I82" s="18" t="s">
        <v>80</v>
      </c>
      <c r="J82" s="1" t="s">
        <v>85</v>
      </c>
    </row>
    <row r="83" spans="2:10" x14ac:dyDescent="0.3">
      <c r="B83" s="19" t="str">
        <f>IF(J83="X","MotorTeste_"&amp;G83&amp;" : "&amp;H5&amp;"."&amp;"InterfacePLC."&amp;G83&amp;";","")</f>
        <v>MotorTeste_CorrenteCapCarga : "EL-302".InterfacePLC.CorrenteCapCarga;</v>
      </c>
      <c r="C83" s="20"/>
      <c r="D83" s="20"/>
      <c r="E83" s="20"/>
      <c r="F83" s="21"/>
      <c r="G83" s="16" t="s">
        <v>81</v>
      </c>
      <c r="H83" s="17" t="s">
        <v>81</v>
      </c>
      <c r="I83" s="18" t="s">
        <v>81</v>
      </c>
      <c r="J83" s="1" t="s">
        <v>85</v>
      </c>
    </row>
    <row r="84" spans="2:10" x14ac:dyDescent="0.3">
      <c r="B84" s="19" t="str">
        <f>IF(J84="X","MotorTeste_"&amp;G84&amp;" : "&amp;H5&amp;"."&amp;"InterfacePLC."&amp;G84&amp;";","")</f>
        <v>MotorTeste_CargaAlarme : "EL-302".InterfacePLC.CargaAlarme;</v>
      </c>
      <c r="C84" s="20"/>
      <c r="D84" s="20"/>
      <c r="E84" s="20"/>
      <c r="F84" s="21"/>
      <c r="G84" s="16" t="s">
        <v>82</v>
      </c>
      <c r="H84" s="17" t="s">
        <v>82</v>
      </c>
      <c r="I84" s="18" t="s">
        <v>82</v>
      </c>
      <c r="J84" s="1" t="s">
        <v>85</v>
      </c>
    </row>
    <row r="85" spans="2:10" x14ac:dyDescent="0.3">
      <c r="B85" s="19" t="str">
        <f>IF(J85="X","MotorTeste_"&amp;G85&amp;" : "&amp;H5&amp;"."&amp;"InterfacePLC."&amp;G85&amp;";","")</f>
        <v>MotorTeste_CargaFalha : "EL-302".InterfacePLC.CargaFalha;</v>
      </c>
      <c r="C85" s="20"/>
      <c r="D85" s="20"/>
      <c r="E85" s="20"/>
      <c r="F85" s="21"/>
      <c r="G85" s="16" t="s">
        <v>83</v>
      </c>
      <c r="H85" s="17" t="s">
        <v>83</v>
      </c>
      <c r="I85" s="18" t="s">
        <v>83</v>
      </c>
      <c r="J85" s="1" t="s">
        <v>85</v>
      </c>
    </row>
    <row r="86" spans="2:10" x14ac:dyDescent="0.3">
      <c r="B86" s="19" t="str">
        <f>IF(J86="X","MotorTeste_"&amp;G86&amp;" : "&amp;H5&amp;"."&amp;"InterfacePLC."&amp;G86&amp;";","")</f>
        <v>MotorTeste_TempMax : "EL-302".InterfacePLC.TempMax;</v>
      </c>
      <c r="C86" s="20"/>
      <c r="D86" s="20"/>
      <c r="E86" s="20"/>
      <c r="F86" s="21"/>
      <c r="G86" s="16" t="s">
        <v>84</v>
      </c>
      <c r="H86" s="17" t="s">
        <v>84</v>
      </c>
      <c r="I86" s="18" t="s">
        <v>84</v>
      </c>
      <c r="J86" s="1" t="s">
        <v>85</v>
      </c>
    </row>
    <row r="87" spans="2:10" x14ac:dyDescent="0.3">
      <c r="B87" s="19" t="str">
        <f>IF(J87="X","MotorTeste_"&amp;G87&amp;" : "&amp;H5&amp;"."&amp;G87&amp;";","")</f>
        <v>MotorTeste_ioSimula : "EL-302".ioSimula;</v>
      </c>
      <c r="C87" s="20"/>
      <c r="D87" s="20"/>
      <c r="E87" s="20"/>
      <c r="F87" s="21"/>
      <c r="G87" s="16" t="s">
        <v>87</v>
      </c>
      <c r="H87" s="17" t="s">
        <v>84</v>
      </c>
      <c r="I87" s="18" t="s">
        <v>84</v>
      </c>
      <c r="J87" s="1" t="s">
        <v>85</v>
      </c>
    </row>
  </sheetData>
  <mergeCells count="167">
    <mergeCell ref="B86:F86"/>
    <mergeCell ref="B87:F87"/>
    <mergeCell ref="G87:I87"/>
    <mergeCell ref="B81:F81"/>
    <mergeCell ref="B82:F82"/>
    <mergeCell ref="B83:F83"/>
    <mergeCell ref="B84:F84"/>
    <mergeCell ref="B85:F85"/>
    <mergeCell ref="B79:F79"/>
    <mergeCell ref="B80:F80"/>
    <mergeCell ref="B77:F77"/>
    <mergeCell ref="B78:F78"/>
    <mergeCell ref="B71:F71"/>
    <mergeCell ref="B72:F72"/>
    <mergeCell ref="B73:F73"/>
    <mergeCell ref="B74:F74"/>
    <mergeCell ref="B75:F75"/>
    <mergeCell ref="B76:F76"/>
    <mergeCell ref="B65:F65"/>
    <mergeCell ref="B66:F66"/>
    <mergeCell ref="B67:F67"/>
    <mergeCell ref="B68:F68"/>
    <mergeCell ref="B69:F69"/>
    <mergeCell ref="B70:F70"/>
    <mergeCell ref="B59:F59"/>
    <mergeCell ref="B60:F60"/>
    <mergeCell ref="B61:F61"/>
    <mergeCell ref="B62:F62"/>
    <mergeCell ref="B63:F63"/>
    <mergeCell ref="B64:F64"/>
    <mergeCell ref="B54:F54"/>
    <mergeCell ref="B55:F55"/>
    <mergeCell ref="B56:F56"/>
    <mergeCell ref="B57:F57"/>
    <mergeCell ref="B58:F58"/>
    <mergeCell ref="B48:F48"/>
    <mergeCell ref="B49:F49"/>
    <mergeCell ref="B50:F50"/>
    <mergeCell ref="B51:F51"/>
    <mergeCell ref="B52:F52"/>
    <mergeCell ref="B53:F53"/>
    <mergeCell ref="B42:F42"/>
    <mergeCell ref="B43:F43"/>
    <mergeCell ref="B44:F44"/>
    <mergeCell ref="B45:F45"/>
    <mergeCell ref="B46:F46"/>
    <mergeCell ref="B47:F47"/>
    <mergeCell ref="B36:F36"/>
    <mergeCell ref="B37:F37"/>
    <mergeCell ref="B38:F38"/>
    <mergeCell ref="B39:F39"/>
    <mergeCell ref="B40:F40"/>
    <mergeCell ref="B41:F41"/>
    <mergeCell ref="G83:I83"/>
    <mergeCell ref="G84:I84"/>
    <mergeCell ref="G85:I85"/>
    <mergeCell ref="G86:I86"/>
    <mergeCell ref="B30:F30"/>
    <mergeCell ref="B31:F31"/>
    <mergeCell ref="B32:F32"/>
    <mergeCell ref="B33:F33"/>
    <mergeCell ref="B34:F34"/>
    <mergeCell ref="B35:F35"/>
    <mergeCell ref="G79:I79"/>
    <mergeCell ref="G80:I80"/>
    <mergeCell ref="G81:I81"/>
    <mergeCell ref="G82:I82"/>
    <mergeCell ref="G74:I74"/>
    <mergeCell ref="G75:I75"/>
    <mergeCell ref="G76:I76"/>
    <mergeCell ref="G77:I77"/>
    <mergeCell ref="G78:I78"/>
    <mergeCell ref="G68:I68"/>
    <mergeCell ref="G69:I69"/>
    <mergeCell ref="G70:I70"/>
    <mergeCell ref="G71:I71"/>
    <mergeCell ref="G72:I72"/>
    <mergeCell ref="G73:I73"/>
    <mergeCell ref="G62:I62"/>
    <mergeCell ref="G63:I63"/>
    <mergeCell ref="G64:I64"/>
    <mergeCell ref="G65:I65"/>
    <mergeCell ref="G66:I66"/>
    <mergeCell ref="G67:I67"/>
    <mergeCell ref="G56:I56"/>
    <mergeCell ref="G57:I57"/>
    <mergeCell ref="G58:I58"/>
    <mergeCell ref="G59:I59"/>
    <mergeCell ref="G60:I60"/>
    <mergeCell ref="G61:I61"/>
    <mergeCell ref="G51:I51"/>
    <mergeCell ref="G52:I52"/>
    <mergeCell ref="G53:I53"/>
    <mergeCell ref="G54:I54"/>
    <mergeCell ref="G55:I55"/>
    <mergeCell ref="G45:I45"/>
    <mergeCell ref="G46:I46"/>
    <mergeCell ref="G47:I47"/>
    <mergeCell ref="G48:I48"/>
    <mergeCell ref="G49:I49"/>
    <mergeCell ref="G50:I50"/>
    <mergeCell ref="G39:I39"/>
    <mergeCell ref="G40:I40"/>
    <mergeCell ref="G41:I41"/>
    <mergeCell ref="G42:I42"/>
    <mergeCell ref="G43:I43"/>
    <mergeCell ref="G44:I44"/>
    <mergeCell ref="G33:I33"/>
    <mergeCell ref="G34:I34"/>
    <mergeCell ref="G35:I35"/>
    <mergeCell ref="G36:I36"/>
    <mergeCell ref="G37:I37"/>
    <mergeCell ref="G38:I38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B27:F27"/>
    <mergeCell ref="B28:F28"/>
    <mergeCell ref="B29:F29"/>
    <mergeCell ref="H5:J5"/>
    <mergeCell ref="G7:I7"/>
    <mergeCell ref="G6:I6"/>
    <mergeCell ref="G8:I8"/>
    <mergeCell ref="G9:I9"/>
    <mergeCell ref="G10:I10"/>
    <mergeCell ref="G11:I11"/>
    <mergeCell ref="B10:F10"/>
    <mergeCell ref="B11:F11"/>
    <mergeCell ref="B12:F12"/>
    <mergeCell ref="B13:F13"/>
    <mergeCell ref="B14:F14"/>
    <mergeCell ref="B15:F15"/>
    <mergeCell ref="B23:F23"/>
    <mergeCell ref="B24:F24"/>
    <mergeCell ref="B25:F25"/>
    <mergeCell ref="B26:F26"/>
    <mergeCell ref="B17:F17"/>
    <mergeCell ref="B18:F18"/>
    <mergeCell ref="B19:F19"/>
    <mergeCell ref="B20:F20"/>
    <mergeCell ref="B16:F16"/>
    <mergeCell ref="G12:I12"/>
    <mergeCell ref="G13:I13"/>
    <mergeCell ref="G14:I14"/>
    <mergeCell ref="B21:F21"/>
    <mergeCell ref="B22:F22"/>
    <mergeCell ref="B6:F6"/>
    <mergeCell ref="B7:F7"/>
    <mergeCell ref="B8:F8"/>
    <mergeCell ref="B9:F9"/>
    <mergeCell ref="B2:J4"/>
    <mergeCell ref="B5:F5"/>
  </mergeCells>
  <pageMargins left="0.511811024" right="0.511811024" top="0.78740157499999996" bottom="0.78740157499999996" header="0.31496062000000002" footer="0.31496062000000002"/>
  <pageSetup paperSize="9" orientation="portrait" r:id="rId1"/>
  <cellWatches>
    <cellWatch r="B7"/>
    <cellWatch r="B8"/>
    <cellWatch r="B9"/>
    <cellWatch r="B10"/>
    <cellWatch r="B11"/>
    <cellWatch r="B12"/>
    <cellWatch r="B13"/>
    <cellWatch r="B14"/>
    <cellWatch r="B15"/>
    <cellWatch r="B16"/>
    <cellWatch r="B17"/>
    <cellWatch r="B18"/>
    <cellWatch r="B19"/>
    <cellWatch r="B20"/>
    <cellWatch r="B21"/>
    <cellWatch r="B22"/>
    <cellWatch r="B23"/>
    <cellWatch r="B24"/>
    <cellWatch r="B25"/>
    <cellWatch r="B26"/>
    <cellWatch r="B27"/>
    <cellWatch r="B28"/>
    <cellWatch r="B29"/>
    <cellWatch r="B30"/>
    <cellWatch r="B31"/>
    <cellWatch r="B32"/>
    <cellWatch r="B33"/>
    <cellWatch r="B34"/>
    <cellWatch r="B35"/>
    <cellWatch r="B36"/>
    <cellWatch r="B37"/>
    <cellWatch r="B38"/>
    <cellWatch r="B39"/>
    <cellWatch r="B40"/>
    <cellWatch r="B41"/>
    <cellWatch r="B42"/>
    <cellWatch r="B43"/>
    <cellWatch r="B44"/>
    <cellWatch r="B45"/>
    <cellWatch r="B46"/>
    <cellWatch r="B47"/>
    <cellWatch r="B48"/>
    <cellWatch r="B49"/>
    <cellWatch r="B50"/>
    <cellWatch r="B51"/>
    <cellWatch r="B52"/>
    <cellWatch r="B53"/>
    <cellWatch r="B54"/>
    <cellWatch r="B55"/>
    <cellWatch r="B56"/>
    <cellWatch r="B57"/>
    <cellWatch r="B58"/>
    <cellWatch r="B59"/>
    <cellWatch r="B60"/>
    <cellWatch r="B61"/>
    <cellWatch r="B62"/>
    <cellWatch r="B63"/>
    <cellWatch r="B64"/>
    <cellWatch r="B65"/>
    <cellWatch r="B66"/>
    <cellWatch r="B67"/>
    <cellWatch r="B68"/>
    <cellWatch r="B69"/>
    <cellWatch r="B70"/>
    <cellWatch r="B71"/>
    <cellWatch r="B72"/>
    <cellWatch r="B73"/>
    <cellWatch r="B74"/>
    <cellWatch r="B75"/>
    <cellWatch r="B76"/>
    <cellWatch r="B77"/>
    <cellWatch r="B78"/>
    <cellWatch r="B79"/>
    <cellWatch r="B80"/>
    <cellWatch r="B81"/>
    <cellWatch r="B82"/>
    <cellWatch r="B83"/>
    <cellWatch r="B84"/>
    <cellWatch r="B85"/>
    <cellWatch r="B86"/>
  </cellWatche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FellipeMagalhaes</dc:creator>
  <cp:lastModifiedBy>FellipeMagalhaes</cp:lastModifiedBy>
  <dcterms:created xsi:type="dcterms:W3CDTF">2023-05-03T18:04:53Z</dcterms:created>
  <dcterms:modified xsi:type="dcterms:W3CDTF">2023-05-03T19:09:27Z</dcterms:modified>
</cp:coreProperties>
</file>